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àn\Desktop\Sistemas\Lab3\"/>
    </mc:Choice>
  </mc:AlternateContent>
  <xr:revisionPtr revIDLastSave="0" documentId="13_ncr:1_{DD08FDB6-F76A-4CF8-A24D-066010514E80}" xr6:coauthVersionLast="47" xr6:coauthVersionMax="47" xr10:uidLastSave="{00000000-0000-0000-0000-000000000000}"/>
  <bookViews>
    <workbookView xWindow="17355" yWindow="0" windowWidth="11550" windowHeight="16305" tabRatio="500" firstSheet="1" activeTab="2" xr2:uid="{00000000-000D-0000-FFFF-FFFF00000000}"/>
  </bookViews>
  <sheets>
    <sheet name="solicitudes" sheetId="1" r:id="rId1"/>
    <sheet name="catalogo" sheetId="2" r:id="rId2"/>
    <sheet name="parametr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<sst xmlns="http://schemas.openxmlformats.org/spreadsheetml/2006/main" count="145" uniqueCount="93">
  <si>
    <t>id_solicitud</t>
  </si>
  <si>
    <t>sku</t>
  </si>
  <si>
    <t>unidades</t>
  </si>
  <si>
    <t>monto</t>
  </si>
  <si>
    <t>dias_desde_compra</t>
  </si>
  <si>
    <t>estado_producto</t>
  </si>
  <si>
    <t>email_cliente</t>
  </si>
  <si>
    <t>DEV-1115</t>
  </si>
  <si>
    <t>AU-210</t>
  </si>
  <si>
    <t>1</t>
  </si>
  <si>
    <t>19990</t>
  </si>
  <si>
    <t>3</t>
  </si>
  <si>
    <t>sin_abrir</t>
  </si>
  <si>
    <t>cliente1@example.cl</t>
  </si>
  <si>
    <t>DEV-1116</t>
  </si>
  <si>
    <t>TE-330</t>
  </si>
  <si>
    <t>2</t>
  </si>
  <si>
    <t>69980</t>
  </si>
  <si>
    <t>5</t>
  </si>
  <si>
    <t>abierto_sin_uso</t>
  </si>
  <si>
    <t>cliente2@example.cl</t>
  </si>
  <si>
    <t>DEV-1117</t>
  </si>
  <si>
    <t>HV-050</t>
  </si>
  <si>
    <t>24990</t>
  </si>
  <si>
    <t>12</t>
  </si>
  <si>
    <t>con_fallas</t>
  </si>
  <si>
    <t>cliente3@example.cl</t>
  </si>
  <si>
    <t>DEV-1118</t>
  </si>
  <si>
    <t>MW-150</t>
  </si>
  <si>
    <t>79990</t>
  </si>
  <si>
    <t>4</t>
  </si>
  <si>
    <t>cliente4@example.cl</t>
  </si>
  <si>
    <t>DEV-1119</t>
  </si>
  <si>
    <t>PL-120</t>
  </si>
  <si>
    <t>45990</t>
  </si>
  <si>
    <t>25</t>
  </si>
  <si>
    <t>danado_por_uso</t>
  </si>
  <si>
    <t>cliente5@example.cl</t>
  </si>
  <si>
    <t>DEV-1120</t>
  </si>
  <si>
    <t>AS-260</t>
  </si>
  <si>
    <t>89990</t>
  </si>
  <si>
    <t>cliente6@example.cl</t>
  </si>
  <si>
    <t>DEV-1121</t>
  </si>
  <si>
    <t>LV-330</t>
  </si>
  <si>
    <t>289990</t>
  </si>
  <si>
    <t>9</t>
  </si>
  <si>
    <t>cliente7@example.cl</t>
  </si>
  <si>
    <t>DEV-1122</t>
  </si>
  <si>
    <t>cliente8@example.cl</t>
  </si>
  <si>
    <t>DEV-1123</t>
  </si>
  <si>
    <t>39980</t>
  </si>
  <si>
    <t>15</t>
  </si>
  <si>
    <t>cliente9@example.cl</t>
  </si>
  <si>
    <t>DEV-1124</t>
  </si>
  <si>
    <t>49980</t>
  </si>
  <si>
    <t>cliente10@example.cl</t>
  </si>
  <si>
    <t>DEV-1125</t>
  </si>
  <si>
    <t>34990</t>
  </si>
  <si>
    <t>22</t>
  </si>
  <si>
    <t>cliente11@example.cl</t>
  </si>
  <si>
    <t>DEV-1126</t>
  </si>
  <si>
    <t>8</t>
  </si>
  <si>
    <t>cliente12@example.cl</t>
  </si>
  <si>
    <t>DEV-C01</t>
  </si>
  <si>
    <t>CB-010</t>
  </si>
  <si>
    <t>9990</t>
  </si>
  <si>
    <t>control01@example.cl</t>
  </si>
  <si>
    <t>DEV-C02</t>
  </si>
  <si>
    <t>control02@example.cl</t>
  </si>
  <si>
    <t>DEV-C03</t>
  </si>
  <si>
    <t>29</t>
  </si>
  <si>
    <t>control03@example.cl</t>
  </si>
  <si>
    <t>Todos los campos se entregan como texto, tal como los enviaria un formulario web.</t>
  </si>
  <si>
    <t>nombre</t>
  </si>
  <si>
    <t>precio</t>
  </si>
  <si>
    <t>categoria</t>
  </si>
  <si>
    <t>Audifonos in-ear</t>
  </si>
  <si>
    <t>Computacion</t>
  </si>
  <si>
    <t>Teclado inalambrico</t>
  </si>
  <si>
    <t>Hervidor 1,7 L</t>
  </si>
  <si>
    <t>Cocina</t>
  </si>
  <si>
    <t>Microondas 20 L</t>
  </si>
  <si>
    <t>Plancha a vapor</t>
  </si>
  <si>
    <t>Cuidado del hogar</t>
  </si>
  <si>
    <t>Aspiradora 1400 W</t>
  </si>
  <si>
    <t>Lavadora 8 kg</t>
  </si>
  <si>
    <t>Linea blanca</t>
  </si>
  <si>
    <t>Cable HDMI 2 m</t>
  </si>
  <si>
    <t>Accesorios</t>
  </si>
  <si>
    <t>S  (tres ultimos digitos del RUT, sin digito verificador)</t>
  </si>
  <si>
    <t>U  Umbral de monto  = 30000 + 1000 * RESIDUO(S;50)</t>
  </si>
  <si>
    <t>D  Plazo maximo     = 7 + 7 * RESIDUO(S;4)</t>
  </si>
  <si>
    <t>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</si>
</sst>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A6A7A"/>
      <name val="Arial"/>
      <family val="2"/>
    </font>
    <font>
      <b/>
      <sz val="12"/>
      <color rgb="FF003E78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8"/>
        <bgColor rgb="FF333399"/>
      </patternFill>
    </fill>
    <fill>
      <patternFill patternType="solid">
        <fgColor rgb="FFFFF3D6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8C7D8"/>
      </left>
      <right style="thin">
        <color rgb="FFB8C7D8"/>
      </right>
      <top style="thin">
        <color rgb="FFB8C7D8"/>
      </top>
      <bottom style="thin">
        <color rgb="FFB8C7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7D8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7A"/>
      <rgbColor rgb="FF969696"/>
      <rgbColor rgb="FF003E7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Normal="100" workbookViewId="0">
      <pane ySplit="1" topLeftCell="A2" activePane="bottomLeft" state="frozen"/>
      <selection pane="bottomLeft" activeCell="C36" sqref="C36"/>
    </sheetView>
  </sheetViews>
  <sheetFormatPr baseColWidth="10" defaultColWidth="8.7109375" defaultRowHeight="15" x14ac:dyDescent="0.25"/>
  <cols>
    <col min="1" max="1" width="15" customWidth="1"/>
    <col min="2" max="2" width="10" customWidth="1"/>
    <col min="3" max="3" width="11" customWidth="1"/>
    <col min="4" max="4" width="12" customWidth="1"/>
    <col min="5" max="5" width="20" customWidth="1"/>
    <col min="6" max="6" width="19" customWidth="1"/>
    <col min="7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2" t="s">
        <v>19</v>
      </c>
      <c r="G3" s="2" t="s">
        <v>20</v>
      </c>
    </row>
    <row r="4" spans="1:7" x14ac:dyDescent="0.25">
      <c r="A4" s="2" t="s">
        <v>21</v>
      </c>
      <c r="B4" s="2" t="s">
        <v>22</v>
      </c>
      <c r="C4" s="3" t="s">
        <v>9</v>
      </c>
      <c r="D4" s="3" t="s">
        <v>23</v>
      </c>
      <c r="E4" s="3" t="s">
        <v>24</v>
      </c>
      <c r="F4" s="2" t="s">
        <v>25</v>
      </c>
      <c r="G4" s="2" t="s">
        <v>26</v>
      </c>
    </row>
    <row r="5" spans="1:7" x14ac:dyDescent="0.25">
      <c r="A5" s="2" t="s">
        <v>27</v>
      </c>
      <c r="B5" s="2" t="s">
        <v>28</v>
      </c>
      <c r="C5" s="3" t="s">
        <v>9</v>
      </c>
      <c r="D5" s="3" t="s">
        <v>29</v>
      </c>
      <c r="E5" s="3" t="s">
        <v>30</v>
      </c>
      <c r="F5" s="2" t="s">
        <v>12</v>
      </c>
      <c r="G5" s="2" t="s">
        <v>31</v>
      </c>
    </row>
    <row r="6" spans="1:7" x14ac:dyDescent="0.25">
      <c r="A6" s="2" t="s">
        <v>32</v>
      </c>
      <c r="B6" s="2" t="s">
        <v>33</v>
      </c>
      <c r="C6" s="3" t="s">
        <v>9</v>
      </c>
      <c r="D6" s="3" t="s">
        <v>34</v>
      </c>
      <c r="E6" s="3" t="s">
        <v>35</v>
      </c>
      <c r="F6" s="2" t="s">
        <v>36</v>
      </c>
      <c r="G6" s="2" t="s">
        <v>37</v>
      </c>
    </row>
    <row r="7" spans="1:7" x14ac:dyDescent="0.25">
      <c r="A7" s="2" t="s">
        <v>38</v>
      </c>
      <c r="B7" s="2" t="s">
        <v>39</v>
      </c>
      <c r="C7" s="3" t="s">
        <v>9</v>
      </c>
      <c r="D7" s="3" t="s">
        <v>40</v>
      </c>
      <c r="E7" s="3" t="s">
        <v>16</v>
      </c>
      <c r="F7" s="2" t="s">
        <v>25</v>
      </c>
      <c r="G7" s="2" t="s">
        <v>41</v>
      </c>
    </row>
    <row r="8" spans="1:7" x14ac:dyDescent="0.25">
      <c r="A8" s="2" t="s">
        <v>42</v>
      </c>
      <c r="B8" s="2" t="s">
        <v>43</v>
      </c>
      <c r="C8" s="3" t="s">
        <v>9</v>
      </c>
      <c r="D8" s="3" t="s">
        <v>44</v>
      </c>
      <c r="E8" s="3" t="s">
        <v>45</v>
      </c>
      <c r="F8" s="2" t="s">
        <v>12</v>
      </c>
      <c r="G8" s="2" t="s">
        <v>46</v>
      </c>
    </row>
    <row r="9" spans="1:7" x14ac:dyDescent="0.25">
      <c r="A9" s="2" t="s">
        <v>47</v>
      </c>
      <c r="B9" s="2" t="s">
        <v>33</v>
      </c>
      <c r="C9" s="3" t="s">
        <v>9</v>
      </c>
      <c r="D9" s="3" t="s">
        <v>34</v>
      </c>
      <c r="E9" s="3" t="s">
        <v>16</v>
      </c>
      <c r="F9" s="2" t="s">
        <v>12</v>
      </c>
      <c r="G9" s="2" t="s">
        <v>48</v>
      </c>
    </row>
    <row r="10" spans="1:7" x14ac:dyDescent="0.25">
      <c r="A10" s="2" t="s">
        <v>49</v>
      </c>
      <c r="B10" s="2" t="s">
        <v>8</v>
      </c>
      <c r="C10" s="3" t="s">
        <v>16</v>
      </c>
      <c r="D10" s="3" t="s">
        <v>50</v>
      </c>
      <c r="E10" s="3" t="s">
        <v>51</v>
      </c>
      <c r="F10" s="2" t="s">
        <v>36</v>
      </c>
      <c r="G10" s="2" t="s">
        <v>52</v>
      </c>
    </row>
    <row r="11" spans="1:7" x14ac:dyDescent="0.25">
      <c r="A11" s="2" t="s">
        <v>53</v>
      </c>
      <c r="B11" s="2" t="s">
        <v>22</v>
      </c>
      <c r="C11" s="3" t="s">
        <v>16</v>
      </c>
      <c r="D11" s="3" t="s">
        <v>54</v>
      </c>
      <c r="E11" s="3" t="s">
        <v>9</v>
      </c>
      <c r="F11" s="2" t="s">
        <v>19</v>
      </c>
      <c r="G11" s="2" t="s">
        <v>55</v>
      </c>
    </row>
    <row r="12" spans="1:7" x14ac:dyDescent="0.25">
      <c r="A12" s="2" t="s">
        <v>56</v>
      </c>
      <c r="B12" s="2" t="s">
        <v>15</v>
      </c>
      <c r="C12" s="3" t="s">
        <v>9</v>
      </c>
      <c r="D12" s="3" t="s">
        <v>57</v>
      </c>
      <c r="E12" s="3" t="s">
        <v>58</v>
      </c>
      <c r="F12" s="2" t="s">
        <v>12</v>
      </c>
      <c r="G12" s="2" t="s">
        <v>59</v>
      </c>
    </row>
    <row r="13" spans="1:7" x14ac:dyDescent="0.25">
      <c r="A13" s="2" t="s">
        <v>60</v>
      </c>
      <c r="B13" s="2" t="s">
        <v>28</v>
      </c>
      <c r="C13" s="3" t="s">
        <v>9</v>
      </c>
      <c r="D13" s="3" t="s">
        <v>29</v>
      </c>
      <c r="E13" s="3" t="s">
        <v>61</v>
      </c>
      <c r="F13" s="2" t="s">
        <v>25</v>
      </c>
      <c r="G13" s="2" t="s">
        <v>62</v>
      </c>
    </row>
    <row r="14" spans="1:7" x14ac:dyDescent="0.25">
      <c r="A14" s="4" t="s">
        <v>63</v>
      </c>
      <c r="B14" s="4" t="s">
        <v>64</v>
      </c>
      <c r="C14" s="5" t="s">
        <v>9</v>
      </c>
      <c r="D14" s="5" t="s">
        <v>65</v>
      </c>
      <c r="E14" s="5" t="s">
        <v>9</v>
      </c>
      <c r="F14" s="4" t="s">
        <v>12</v>
      </c>
      <c r="G14" s="4" t="s">
        <v>66</v>
      </c>
    </row>
    <row r="15" spans="1:7" x14ac:dyDescent="0.25">
      <c r="A15" s="4" t="s">
        <v>67</v>
      </c>
      <c r="B15" s="4" t="s">
        <v>43</v>
      </c>
      <c r="C15" s="5" t="s">
        <v>9</v>
      </c>
      <c r="D15" s="5" t="s">
        <v>44</v>
      </c>
      <c r="E15" s="5" t="s">
        <v>16</v>
      </c>
      <c r="F15" s="4" t="s">
        <v>12</v>
      </c>
      <c r="G15" s="4" t="s">
        <v>68</v>
      </c>
    </row>
    <row r="16" spans="1:7" x14ac:dyDescent="0.25">
      <c r="A16" s="4" t="s">
        <v>69</v>
      </c>
      <c r="B16" s="4" t="s">
        <v>28</v>
      </c>
      <c r="C16" s="5" t="s">
        <v>9</v>
      </c>
      <c r="D16" s="5" t="s">
        <v>29</v>
      </c>
      <c r="E16" s="5" t="s">
        <v>70</v>
      </c>
      <c r="F16" s="4" t="s">
        <v>19</v>
      </c>
      <c r="G16" s="4" t="s">
        <v>71</v>
      </c>
    </row>
    <row r="18" spans="1:1" x14ac:dyDescent="0.25">
      <c r="A18" s="6"/>
    </row>
    <row r="19" spans="1:1" x14ac:dyDescent="0.25">
      <c r="A19" s="6" t="s">
        <v>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0" customWidth="1"/>
    <col min="2" max="2" width="24" customWidth="1"/>
    <col min="3" max="3" width="12" customWidth="1"/>
    <col min="4" max="4" width="20" customWidth="1"/>
  </cols>
  <sheetData>
    <row r="1" spans="1:4" x14ac:dyDescent="0.25">
      <c r="A1" s="7" t="s">
        <v>1</v>
      </c>
      <c r="B1" s="7" t="s">
        <v>73</v>
      </c>
      <c r="C1" s="7" t="s">
        <v>74</v>
      </c>
      <c r="D1" s="7" t="s">
        <v>75</v>
      </c>
    </row>
    <row r="2" spans="1:4" x14ac:dyDescent="0.25">
      <c r="A2" s="8" t="s">
        <v>8</v>
      </c>
      <c r="B2" s="8" t="s">
        <v>76</v>
      </c>
      <c r="C2" s="9">
        <v>19990</v>
      </c>
      <c r="D2" s="8" t="s">
        <v>77</v>
      </c>
    </row>
    <row r="3" spans="1:4" x14ac:dyDescent="0.25">
      <c r="A3" s="8" t="s">
        <v>15</v>
      </c>
      <c r="B3" s="8" t="s">
        <v>78</v>
      </c>
      <c r="C3" s="9">
        <v>34990</v>
      </c>
      <c r="D3" s="8" t="s">
        <v>77</v>
      </c>
    </row>
    <row r="4" spans="1:4" x14ac:dyDescent="0.25">
      <c r="A4" s="8" t="s">
        <v>22</v>
      </c>
      <c r="B4" s="8" t="s">
        <v>79</v>
      </c>
      <c r="C4" s="9">
        <v>24990</v>
      </c>
      <c r="D4" s="8" t="s">
        <v>80</v>
      </c>
    </row>
    <row r="5" spans="1:4" x14ac:dyDescent="0.25">
      <c r="A5" s="8" t="s">
        <v>28</v>
      </c>
      <c r="B5" s="8" t="s">
        <v>81</v>
      </c>
      <c r="C5" s="9">
        <v>79990</v>
      </c>
      <c r="D5" s="8" t="s">
        <v>80</v>
      </c>
    </row>
    <row r="6" spans="1:4" x14ac:dyDescent="0.25">
      <c r="A6" s="8" t="s">
        <v>33</v>
      </c>
      <c r="B6" s="8" t="s">
        <v>82</v>
      </c>
      <c r="C6" s="9">
        <v>45990</v>
      </c>
      <c r="D6" s="8" t="s">
        <v>83</v>
      </c>
    </row>
    <row r="7" spans="1:4" x14ac:dyDescent="0.25">
      <c r="A7" s="8" t="s">
        <v>39</v>
      </c>
      <c r="B7" s="8" t="s">
        <v>84</v>
      </c>
      <c r="C7" s="9">
        <v>89990</v>
      </c>
      <c r="D7" s="8" t="s">
        <v>83</v>
      </c>
    </row>
    <row r="8" spans="1:4" x14ac:dyDescent="0.25">
      <c r="A8" s="8" t="s">
        <v>43</v>
      </c>
      <c r="B8" s="8" t="s">
        <v>85</v>
      </c>
      <c r="C8" s="9">
        <v>289990</v>
      </c>
      <c r="D8" s="8" t="s">
        <v>86</v>
      </c>
    </row>
    <row r="9" spans="1:4" x14ac:dyDescent="0.25">
      <c r="A9" s="8" t="s">
        <v>64</v>
      </c>
      <c r="B9" s="8" t="s">
        <v>87</v>
      </c>
      <c r="C9" s="9">
        <v>9990</v>
      </c>
      <c r="D9" s="8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zoomScaleNormal="100" workbookViewId="0">
      <selection activeCell="B3" sqref="B3"/>
    </sheetView>
  </sheetViews>
  <sheetFormatPr baseColWidth="10" defaultColWidth="8.7109375" defaultRowHeight="15" x14ac:dyDescent="0.25"/>
  <cols>
    <col min="1" max="1" width="56" customWidth="1"/>
    <col min="2" max="2" width="14" customWidth="1"/>
  </cols>
  <sheetData>
    <row r="1" spans="1:2" ht="15.75" x14ac:dyDescent="0.25">
      <c r="A1" s="10" t="s">
        <v>92</v>
      </c>
    </row>
    <row r="3" spans="1:2" x14ac:dyDescent="0.25">
      <c r="A3" s="11" t="s">
        <v>89</v>
      </c>
      <c r="B3" s="12">
        <v>360</v>
      </c>
    </row>
    <row r="4" spans="1:2" x14ac:dyDescent="0.25">
      <c r="A4" s="11" t="s">
        <v>90</v>
      </c>
      <c r="B4" s="13">
        <f>30000+1000*MOD(B3,50)</f>
        <v>40000</v>
      </c>
    </row>
    <row r="5" spans="1:2" x14ac:dyDescent="0.25">
      <c r="A5" s="11" t="s">
        <v>91</v>
      </c>
      <c r="B5" s="14">
        <f>7+7*MOD(B3,4)</f>
        <v>7</v>
      </c>
    </row>
    <row r="7" spans="1:2" x14ac:dyDescent="0.25">
      <c r="A7" s="6"/>
    </row>
    <row r="8" spans="1:2" x14ac:dyDescent="0.25">
      <c r="A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solicitudes</vt:lpstr>
      <vt:lpstr>catalogo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Gonzalez Vela (Alumno)</cp:lastModifiedBy>
  <cp:revision>0</cp:revision>
  <dcterms:created xsi:type="dcterms:W3CDTF">2026-09-07T14:08:20Z</dcterms:created>
  <dcterms:modified xsi:type="dcterms:W3CDTF">2026-09-15T01:18:30Z</dcterms:modified>
  <dc:language>en-US</dc:language>
</cp:coreProperties>
</file>